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b557362d4a6d82/Documents/"/>
    </mc:Choice>
  </mc:AlternateContent>
  <xr:revisionPtr revIDLastSave="0" documentId="8_{B90D8551-1AA6-499C-B080-5C93B24EC3E4}" xr6:coauthVersionLast="47" xr6:coauthVersionMax="47" xr10:uidLastSave="{00000000-0000-0000-0000-000000000000}"/>
  <bookViews>
    <workbookView xWindow="-108" yWindow="-108" windowWidth="23256" windowHeight="12456" xr2:uid="{32016AC3-36A0-445F-AD0E-7A02582960F2}"/>
  </bookViews>
  <sheets>
    <sheet name="Sheet1" sheetId="2" r:id="rId1"/>
    <sheet name="forecasting_task_LGC" sheetId="1" r:id="rId2"/>
  </sheets>
  <calcPr calcId="0"/>
</workbook>
</file>

<file path=xl/calcChain.xml><?xml version="1.0" encoding="utf-8"?>
<calcChain xmlns="http://schemas.openxmlformats.org/spreadsheetml/2006/main">
  <c r="C14" i="2" l="1"/>
  <c r="C16" i="2"/>
  <c r="C15" i="2"/>
  <c r="D15" i="2"/>
  <c r="E14" i="2"/>
  <c r="E15" i="2"/>
  <c r="E16" i="2"/>
  <c r="D14" i="2"/>
  <c r="D16" i="2"/>
</calcChain>
</file>

<file path=xl/sharedStrings.xml><?xml version="1.0" encoding="utf-8"?>
<sst xmlns="http://schemas.openxmlformats.org/spreadsheetml/2006/main" count="10" uniqueCount="8">
  <si>
    <t>Timeline</t>
  </si>
  <si>
    <t>Values</t>
  </si>
  <si>
    <t>Forecast</t>
  </si>
  <si>
    <t>Lower Confidence Bound</t>
  </si>
  <si>
    <t>Upper Confidence Bound</t>
  </si>
  <si>
    <t>Forecast(Values)</t>
  </si>
  <si>
    <t>Lower Confidence Bound(Values)</t>
  </si>
  <si>
    <t>Upper Confidence Bound(Values)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</si>
</sst>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18082522293409"/>
          <c:y val="1.9021713194941541E-2"/>
          <c:w val="0.89981917477706586"/>
          <c:h val="0.71064171524014041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Sheet1!$B$2:$B$16</c:f>
              <c:numCache>
                <c:formatCode>General</c:formatCode>
                <c:ptCount val="15"/>
                <c:pt idx="0">
                  <c:v>2873828.34</c:v>
                </c:pt>
                <c:pt idx="1">
                  <c:v>3132684.27</c:v>
                </c:pt>
                <c:pt idx="2">
                  <c:v>2981341.65</c:v>
                </c:pt>
                <c:pt idx="3">
                  <c:v>2693513.99</c:v>
                </c:pt>
                <c:pt idx="4">
                  <c:v>2782909.97</c:v>
                </c:pt>
                <c:pt idx="5">
                  <c:v>3323648.55</c:v>
                </c:pt>
                <c:pt idx="6">
                  <c:v>3400971.83</c:v>
                </c:pt>
                <c:pt idx="7">
                  <c:v>2331364.16</c:v>
                </c:pt>
                <c:pt idx="8">
                  <c:v>1667094.34</c:v>
                </c:pt>
                <c:pt idx="9">
                  <c:v>1494792.73</c:v>
                </c:pt>
                <c:pt idx="10">
                  <c:v>1525424.35</c:v>
                </c:pt>
                <c:pt idx="11">
                  <c:v>149926.94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9F-4A38-B5D7-239B8FAF981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Forecast(Values)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Sheet1!$A$2:$A$16</c:f>
              <c:numCache>
                <c:formatCode>m/d/yyyy</c:formatCode>
                <c:ptCount val="15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11">
                  <c:v>149926.94</c:v>
                </c:pt>
                <c:pt idx="12">
                  <c:v>-617732.66636790032</c:v>
                </c:pt>
                <c:pt idx="13">
                  <c:v>-1387805.9599860751</c:v>
                </c:pt>
                <c:pt idx="14">
                  <c:v>-2157879.2536042491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9F-4A38-B5D7-239B8FAF981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Bound(Values)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Sheet1!$A$2:$A$16</c:f>
              <c:numCache>
                <c:formatCode>m/d/yyyy</c:formatCode>
                <c:ptCount val="15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</c:numCache>
            </c:numRef>
          </c:cat>
          <c:val>
            <c:numRef>
              <c:f>Sheet1!$D$2:$D$16</c:f>
              <c:numCache>
                <c:formatCode>General</c:formatCode>
                <c:ptCount val="15"/>
                <c:pt idx="11" formatCode="0.00">
                  <c:v>149926.94</c:v>
                </c:pt>
                <c:pt idx="12" formatCode="0.00">
                  <c:v>-1760059.573776922</c:v>
                </c:pt>
                <c:pt idx="13" formatCode="0.00">
                  <c:v>-3444314.5372465728</c:v>
                </c:pt>
                <c:pt idx="14" formatCode="0.00">
                  <c:v>-5228386.1968086772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9F-4A38-B5D7-239B8FAF981D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Bound(Values)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Sheet1!$A$2:$A$16</c:f>
              <c:numCache>
                <c:formatCode>m/d/yyyy</c:formatCode>
                <c:ptCount val="15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</c:numCache>
            </c:numRef>
          </c:cat>
          <c:val>
            <c:numRef>
              <c:f>Sheet1!$E$2:$E$16</c:f>
              <c:numCache>
                <c:formatCode>General</c:formatCode>
                <c:ptCount val="15"/>
                <c:pt idx="11" formatCode="0.00">
                  <c:v>149926.94</c:v>
                </c:pt>
                <c:pt idx="12" formatCode="0.00">
                  <c:v>524594.24104112131</c:v>
                </c:pt>
                <c:pt idx="13" formatCode="0.00">
                  <c:v>668702.6172744229</c:v>
                </c:pt>
                <c:pt idx="14" formatCode="0.00">
                  <c:v>912627.68960017897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9F-4A38-B5D7-239B8FAF9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1514063"/>
        <c:axId val="1271508303"/>
      </c:lineChart>
      <c:catAx>
        <c:axId val="127151406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508303"/>
        <c:crosses val="autoZero"/>
        <c:auto val="1"/>
        <c:lblAlgn val="ctr"/>
        <c:lblOffset val="100"/>
        <c:noMultiLvlLbl val="0"/>
      </c:catAx>
      <c:valAx>
        <c:axId val="127150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51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0</xdr:row>
      <xdr:rowOff>11430</xdr:rowOff>
    </xdr:from>
    <xdr:to>
      <xdr:col>17</xdr:col>
      <xdr:colOff>375285</xdr:colOff>
      <xdr:row>20</xdr:row>
      <xdr:rowOff>20955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E06FD4-D693-24BC-4082-9437BFAFA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56F67-A270-44E8-BD21-132FFF32E3A6}" name="Table1" displayName="Table1" ref="A1:E16" totalsRowShown="0">
  <autoFilter ref="A1:E16" xr:uid="{D9A56F67-A270-44E8-BD21-132FFF32E3A6}"/>
  <tableColumns count="5">
    <tableColumn id="1" xr3:uid="{AB47297E-E63D-41E4-B291-0A3B2403BB3F}" name="Timeline" dataDxfId="2"/>
    <tableColumn id="2" xr3:uid="{DDAEA3F0-CB38-42BB-9971-E55E9BC1AB0D}" name="Values"/>
    <tableColumn id="3" xr3:uid="{94E1014B-5952-48E4-8EF8-8C166352F062}" name="Forecast(Values)"/>
    <tableColumn id="4" xr3:uid="{04DEC792-67F1-4799-9757-6B227B1396C7}" name="Lower Confidence Bound(Values)" dataDxfId="1"/>
    <tableColumn id="5" xr3:uid="{FA5BAAFB-5E35-44C1-9338-9453635CC087}" name="Upper Confidence Bound(Value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7A727-64BB-41A7-842E-C6DB712403EA}">
  <dimension ref="A1:E16"/>
  <sheetViews>
    <sheetView tabSelected="1" workbookViewId="0">
      <selection activeCell="J24" sqref="J24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17" customWidth="1"/>
    <col min="4" max="4" width="30" customWidth="1"/>
    <col min="5" max="5" width="30.21875" customWidth="1"/>
  </cols>
  <sheetData>
    <row r="1" spans="1:5" x14ac:dyDescent="0.3">
      <c r="A1" t="s">
        <v>0</v>
      </c>
      <c r="B1" t="s">
        <v>1</v>
      </c>
      <c r="C1" t="s">
        <v>5</v>
      </c>
      <c r="D1" t="s">
        <v>6</v>
      </c>
      <c r="E1" t="s">
        <v>7</v>
      </c>
    </row>
    <row r="2" spans="1:5" x14ac:dyDescent="0.3">
      <c r="A2" s="1">
        <v>45047</v>
      </c>
      <c r="B2">
        <v>2873828.34</v>
      </c>
    </row>
    <row r="3" spans="1:5" x14ac:dyDescent="0.3">
      <c r="A3" s="1">
        <v>45078</v>
      </c>
      <c r="B3">
        <v>3132684.27</v>
      </c>
    </row>
    <row r="4" spans="1:5" x14ac:dyDescent="0.3">
      <c r="A4" s="1">
        <v>45108</v>
      </c>
      <c r="B4">
        <v>2981341.65</v>
      </c>
    </row>
    <row r="5" spans="1:5" x14ac:dyDescent="0.3">
      <c r="A5" s="1">
        <v>45139</v>
      </c>
      <c r="B5">
        <v>2693513.99</v>
      </c>
    </row>
    <row r="6" spans="1:5" x14ac:dyDescent="0.3">
      <c r="A6" s="1">
        <v>45170</v>
      </c>
      <c r="B6">
        <v>2782909.97</v>
      </c>
    </row>
    <row r="7" spans="1:5" x14ac:dyDescent="0.3">
      <c r="A7" s="1">
        <v>45200</v>
      </c>
      <c r="B7">
        <v>3323648.55</v>
      </c>
    </row>
    <row r="8" spans="1:5" x14ac:dyDescent="0.3">
      <c r="A8" s="1">
        <v>45231</v>
      </c>
      <c r="B8">
        <v>3400971.83</v>
      </c>
    </row>
    <row r="9" spans="1:5" x14ac:dyDescent="0.3">
      <c r="A9" s="1">
        <v>45261</v>
      </c>
      <c r="B9">
        <v>2331364.16</v>
      </c>
    </row>
    <row r="10" spans="1:5" x14ac:dyDescent="0.3">
      <c r="A10" s="1">
        <v>45292</v>
      </c>
      <c r="B10">
        <v>1667094.34</v>
      </c>
    </row>
    <row r="11" spans="1:5" x14ac:dyDescent="0.3">
      <c r="A11" s="1">
        <v>45323</v>
      </c>
      <c r="B11">
        <v>1494792.73</v>
      </c>
    </row>
    <row r="12" spans="1:5" x14ac:dyDescent="0.3">
      <c r="A12" s="1">
        <v>45352</v>
      </c>
      <c r="B12">
        <v>1525424.35</v>
      </c>
    </row>
    <row r="13" spans="1:5" x14ac:dyDescent="0.3">
      <c r="A13" s="1">
        <v>45383</v>
      </c>
      <c r="B13">
        <v>149926.94</v>
      </c>
      <c r="C13">
        <v>149926.94</v>
      </c>
      <c r="D13" s="2">
        <v>149926.94</v>
      </c>
      <c r="E13" s="2">
        <v>149926.94</v>
      </c>
    </row>
    <row r="14" spans="1:5" x14ac:dyDescent="0.3">
      <c r="A14" s="1">
        <v>45413</v>
      </c>
      <c r="C14">
        <f>_xlfn.FORECAST.ETS(A14,$B$2:$B$13,$A$2:$A$13,1,1)</f>
        <v>-617732.66636790032</v>
      </c>
      <c r="D14" s="2">
        <f>C14-_xlfn.FORECAST.ETS.CONFINT(A14,$B$2:$B$13,$A$2:$A$13,0.95,1,1)</f>
        <v>-1760059.573776922</v>
      </c>
      <c r="E14" s="2">
        <f>C14+_xlfn.FORECAST.ETS.CONFINT(A14,$B$2:$B$13,$A$2:$A$13,0.95,1,1)</f>
        <v>524594.24104112131</v>
      </c>
    </row>
    <row r="15" spans="1:5" x14ac:dyDescent="0.3">
      <c r="A15" s="1">
        <v>45444</v>
      </c>
      <c r="C15">
        <f>_xlfn.FORECAST.ETS(A15,$B$2:$B$13,$A$2:$A$13,1,1)</f>
        <v>-1387805.9599860751</v>
      </c>
      <c r="D15" s="2">
        <f>C15-_xlfn.FORECAST.ETS.CONFINT(A15,$B$2:$B$13,$A$2:$A$13,0.95,1,1)</f>
        <v>-3444314.5372465728</v>
      </c>
      <c r="E15" s="2">
        <f>C15+_xlfn.FORECAST.ETS.CONFINT(A15,$B$2:$B$13,$A$2:$A$13,0.95,1,1)</f>
        <v>668702.6172744229</v>
      </c>
    </row>
    <row r="16" spans="1:5" x14ac:dyDescent="0.3">
      <c r="A16" s="1">
        <v>45474</v>
      </c>
      <c r="C16">
        <f>_xlfn.FORECAST.ETS(A16,$B$2:$B$13,$A$2:$A$13,1,1)</f>
        <v>-2157879.2536042491</v>
      </c>
      <c r="D16" s="2">
        <f>C16-_xlfn.FORECAST.ETS.CONFINT(A16,$B$2:$B$13,$A$2:$A$13,0.95,1,1)</f>
        <v>-5228386.1968086772</v>
      </c>
      <c r="E16" s="2">
        <f>C16+_xlfn.FORECAST.ETS.CONFINT(A16,$B$2:$B$13,$A$2:$A$13,0.95,1,1)</f>
        <v>912627.68960017897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A9BB-F183-46E8-A7D4-96855BFBF290}">
  <dimension ref="A1:E16"/>
  <sheetViews>
    <sheetView workbookViewId="0">
      <selection sqref="A1:F1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45047</v>
      </c>
      <c r="B2">
        <v>2873828.34</v>
      </c>
    </row>
    <row r="3" spans="1:5" x14ac:dyDescent="0.3">
      <c r="A3" s="1">
        <v>45078</v>
      </c>
      <c r="B3">
        <v>3132684.27</v>
      </c>
    </row>
    <row r="4" spans="1:5" x14ac:dyDescent="0.3">
      <c r="A4" s="1">
        <v>45108</v>
      </c>
      <c r="B4">
        <v>2981341.65</v>
      </c>
    </row>
    <row r="5" spans="1:5" x14ac:dyDescent="0.3">
      <c r="A5" s="1">
        <v>45139</v>
      </c>
      <c r="B5">
        <v>2693513.99</v>
      </c>
    </row>
    <row r="6" spans="1:5" x14ac:dyDescent="0.3">
      <c r="A6" s="1">
        <v>45170</v>
      </c>
      <c r="B6">
        <v>2782909.97</v>
      </c>
    </row>
    <row r="7" spans="1:5" x14ac:dyDescent="0.3">
      <c r="A7" s="1">
        <v>45200</v>
      </c>
      <c r="B7">
        <v>3323648.55</v>
      </c>
    </row>
    <row r="8" spans="1:5" x14ac:dyDescent="0.3">
      <c r="A8" s="1">
        <v>45231</v>
      </c>
      <c r="B8">
        <v>3400971.83</v>
      </c>
    </row>
    <row r="9" spans="1:5" x14ac:dyDescent="0.3">
      <c r="A9" s="1">
        <v>45261</v>
      </c>
      <c r="B9">
        <v>2331364.16</v>
      </c>
    </row>
    <row r="10" spans="1:5" x14ac:dyDescent="0.3">
      <c r="A10" s="1">
        <v>45292</v>
      </c>
      <c r="B10">
        <v>1667094.34</v>
      </c>
    </row>
    <row r="11" spans="1:5" x14ac:dyDescent="0.3">
      <c r="A11" s="1">
        <v>45323</v>
      </c>
      <c r="B11">
        <v>1494792.73</v>
      </c>
    </row>
    <row r="12" spans="1:5" x14ac:dyDescent="0.3">
      <c r="A12" s="1">
        <v>45352</v>
      </c>
      <c r="B12">
        <v>1525424.35</v>
      </c>
      <c r="C12">
        <v>1525424.35</v>
      </c>
      <c r="D12">
        <v>1525424.35</v>
      </c>
      <c r="E12">
        <v>1525424.35</v>
      </c>
    </row>
    <row r="13" spans="1:5" x14ac:dyDescent="0.3">
      <c r="A13" s="1">
        <v>45383</v>
      </c>
      <c r="B13">
        <v>149926.94</v>
      </c>
      <c r="C13">
        <v>1506464.86</v>
      </c>
      <c r="D13">
        <v>425046.07</v>
      </c>
      <c r="E13">
        <v>2587883.65</v>
      </c>
    </row>
    <row r="14" spans="1:5" x14ac:dyDescent="0.3">
      <c r="A14" s="1">
        <v>45413</v>
      </c>
      <c r="C14">
        <v>1351540.42</v>
      </c>
      <c r="D14">
        <v>261435.42</v>
      </c>
      <c r="E14">
        <v>2441645.4300000002</v>
      </c>
    </row>
    <row r="15" spans="1:5" x14ac:dyDescent="0.3">
      <c r="A15" s="1">
        <v>45444</v>
      </c>
      <c r="C15">
        <v>1196615.99</v>
      </c>
      <c r="D15">
        <v>97757.73</v>
      </c>
      <c r="E15">
        <v>2295474.25</v>
      </c>
    </row>
    <row r="16" spans="1:5" x14ac:dyDescent="0.3">
      <c r="A16" s="1">
        <v>45474</v>
      </c>
      <c r="C16">
        <v>1041691.56</v>
      </c>
      <c r="D16">
        <v>-65986.45</v>
      </c>
      <c r="E16">
        <v>2149369.56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forecasting_task_LGC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elmi</dc:creator>
  <cp:lastModifiedBy>khalid elmi</cp:lastModifiedBy>
  <dcterms:created xsi:type="dcterms:W3CDTF">2025-07-03T10:02:13Z</dcterms:created>
  <dcterms:modified xsi:type="dcterms:W3CDTF">2025-07-03T10:02:13Z</dcterms:modified>
</cp:coreProperties>
</file>